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Shopping list October 2023" sheetId="2" r:id="rId6"/>
  </sheets>
  <definedNames/>
  <calcPr/>
</workbook>
</file>

<file path=xl/sharedStrings.xml><?xml version="1.0" encoding="utf-8"?>
<sst xmlns="http://schemas.openxmlformats.org/spreadsheetml/2006/main" count="186" uniqueCount="125">
  <si>
    <t>Saving this just in case, as it was the document I used to put together the initial orders for these demos. The "Bill of Materials" spreadsheet is updated and much more legit.</t>
  </si>
  <si>
    <t>SDoF</t>
  </si>
  <si>
    <t>QTY TO BUY</t>
  </si>
  <si>
    <t>Unit</t>
  </si>
  <si>
    <t xml:space="preserve">Item </t>
  </si>
  <si>
    <t>Description</t>
  </si>
  <si>
    <t>Source</t>
  </si>
  <si>
    <t>Price/Unit</t>
  </si>
  <si>
    <t>Total</t>
  </si>
  <si>
    <t>Submitted OPS Form?</t>
  </si>
  <si>
    <t>packs of 2</t>
  </si>
  <si>
    <t>RC Shocks</t>
  </si>
  <si>
    <t>Provide damping for system</t>
  </si>
  <si>
    <t>https://www.amainhobbies.com/proline-5-powerstroke-xt-shocks-pro6275-00/p479230</t>
  </si>
  <si>
    <t>Y</t>
  </si>
  <si>
    <t>packs of 6</t>
  </si>
  <si>
    <t>Assorted shock oil</t>
  </si>
  <si>
    <t>Provide different damping coefficients</t>
  </si>
  <si>
    <t>https://www.amainhobbies.com/team-losi-racing-silicone-shock-oil-six-pack-20-25-30-35-40-45wt-2oz-tlr74020/p252365</t>
  </si>
  <si>
    <t>piece part</t>
  </si>
  <si>
    <t>500mm linear rail, 20x20mm extrusion</t>
  </si>
  <si>
    <t>Provide single degree of frredom track</t>
  </si>
  <si>
    <t>https://openbuildspartstore.com/v-slot-20x20-linear-rail/</t>
  </si>
  <si>
    <t>Gantry plate</t>
  </si>
  <si>
    <t>Mount for mass to ride the linear rail</t>
  </si>
  <si>
    <t>https://openbuildspartstore.com/v-slot-gantry-kit-20mm/</t>
  </si>
  <si>
    <t>pack of 10</t>
  </si>
  <si>
    <t>T-nut</t>
  </si>
  <si>
    <t>To bolt linear rail to plate</t>
  </si>
  <si>
    <t>https://openbuildspartstore.com/tee-nuts-m5-10-pack/</t>
  </si>
  <si>
    <t>CIM Brushed DC motor</t>
  </si>
  <si>
    <t>Actuator</t>
  </si>
  <si>
    <t>https://www.andymark.com/products/2-5-in-cim-motor</t>
  </si>
  <si>
    <t>12T 5mm HTD pulley</t>
  </si>
  <si>
    <t>Drive input pulley</t>
  </si>
  <si>
    <t>https://www.andymark.com/products/12-tooth-5mm-htd-cim-bore-pulley-with-flanges?via=Z2lkOi8vYW5keW1hcmsvV29ya2FyZWE6Ok5hdmlnYXRpb246OlNlYXJjaFJlc3VsdHMvJTdCJTIyYnV0dG9uJTIyJTNBJTIyc2VhcmNoJTIyJTJDJTIycSUyMiUzQSUyMmh0ZCtwdWxsZXklMjIlMkMlMjJ1dGY4JTIyJTNBJTIyJUUyJTlDJTkzJTIyJTdE</t>
  </si>
  <si>
    <r>
      <rPr/>
      <t xml:space="preserve">Y- Out of stock needed to go through </t>
    </r>
    <r>
      <rPr>
        <color rgb="FF1155CC"/>
        <u/>
      </rPr>
      <t>https://wcproducts.com/products/htd-timing-pulleys</t>
    </r>
    <r>
      <rPr/>
      <t xml:space="preserve"> WCP-0076</t>
    </r>
  </si>
  <si>
    <t>36T 5mm HTD pulley</t>
  </si>
  <si>
    <t>Drive output pulley</t>
  </si>
  <si>
    <t>https://www.vexrobotics.com/htdpulleys.html</t>
  </si>
  <si>
    <t>Y- consolidated to WCP order like above https://wcproducts.com/products/htd-timing-pulleys WCP-0990</t>
  </si>
  <si>
    <t>60T HTD belt 9mm wide 5mm pitch</t>
  </si>
  <si>
    <t>Transmission belt</t>
  </si>
  <si>
    <t>https://www.andymark.com/products/9-mm-wide-5-mm-pitch-htd-timing-belts?via=Z2lkOi8vYW5keW1hcmsvV29ya2FyZWE6Ok5hdmlnYXRpb246OlNlYXJjaFJlc3VsdHMvJTdCJTIyYnV0dG9uJTIyJTNBJTIyc2VhcmNoJTIyJTJDJTIycSUyMiUzQSUyMmh0ZCtiZWx0JTIyJTJDJTIydXRmOCUyMiUzQSUyMiVFMiU5QyU5MyUyMiU3RA&amp;Tooth%20Count=60&amp;quantity=1&amp;Brand=Generic</t>
  </si>
  <si>
    <t>1/2" hex bearing</t>
  </si>
  <si>
    <t>Crankshaft bearing- QTY includes those needed for Point-a-Tron</t>
  </si>
  <si>
    <t>https://www.andymark.com/products/0-5-in-hex-id-1-125-in-od-shielded-flanged-bearing-fr8zz-hexhd?via=Z2lkOi8vYW5keW1hcmsvV29ya2FyZWE6Ok5hdmlnYXRpb246OlNlYXJjaFJlc3VsdHMvJTdCJTIyYnV0dG9uJTIyJTNBJTIyc2VhcmNoJTIyJTJDJTIycSUyMiUzQSUyMjElMkYyK2luY2graGV4K2JlYXJpbmclMjIlMkMlMjJ1dGY4JTIyJTNBJTIyJUUyJTlDJTkzJTIyJTdE</t>
  </si>
  <si>
    <t>2mm square key</t>
  </si>
  <si>
    <t>Torque transfer from motor to pulley</t>
  </si>
  <si>
    <t>https://www.andymark.com/products/2x2x10-mm-machine-key-steel?via=Z2lkOi8vYW5keW1hcmsvV29ya2FyZWE6Ok5hdmlnYXRpb246OlNlYXJjaFJlc3VsdHMvJTdCJTIyYnV0dG9uJTIyJTNBJTIyc2VhcmNoJTIyJTJDJTIycSUyMiUzQSUyMnNxdWFyZStrZXklMjIlMkMlMjJ1dGY4JTIyJTNBJTIyJUUyJTlDJTkzJTIyJTdE</t>
  </si>
  <si>
    <t>1/2" hex shaft, 3ft</t>
  </si>
  <si>
    <t>Crankshaft</t>
  </si>
  <si>
    <t>https://www.andymark.com/products/1-2-in-7075-aluminum-hex-shaft-stock?via=Z2lkOi8vYW5keW1hcmsvV29ya2FyZWE6Ok5hdmlnYXRpb246OlNlYXJjaFJlc3VsdHMvJTdCJTIyYnV0dG9uJTIyJTNBJTIyc2VhcmNoJTIyJTJDJTIycSUyMiUzQSUyMmhleCtzaGFmdCUyMiUyQyUyMnV0ZjglMjIlM0ElMjIlRTIlOUMlOTMlMjIlN0Q&amp;Length=3%20ft.%20(am-2291-3)&amp;quantity=1</t>
  </si>
  <si>
    <t>Motor bracket</t>
  </si>
  <si>
    <t>Motor mount</t>
  </si>
  <si>
    <t>https://www.andymark.com/products/bearing-and-motor-mount-bracket?via=Z2lkOi8vYW5keW1hcmsvV29ya2FyZWE6Ok5hdmlnYXRpb246OlNlYXJjaFJlc3VsdHMvJTdCJTIyYnV0dG9uJTIyJTNBJTIyc2VhcmNoJTIyJTJDJTIycSUyMiUzQSUyMmNpbSttb3VudCUyMiUyQyUyMnV0ZjglMjIlM0ElMjIlRTIlOUMlOTMlMjIlN0Q</t>
  </si>
  <si>
    <t>1/2" shaft collar</t>
  </si>
  <si>
    <t>Base for crank</t>
  </si>
  <si>
    <t>https://www.mcmaster.com/7552K5/</t>
  </si>
  <si>
    <t>pack of 50</t>
  </si>
  <si>
    <t>1/4 -20 button, 5/8 long</t>
  </si>
  <si>
    <t>Fastener</t>
  </si>
  <si>
    <t>https://www.mcmaster.com/92949A539/</t>
  </si>
  <si>
    <t>1/4" shaft bearing</t>
  </si>
  <si>
    <t>Connecting rod bearing</t>
  </si>
  <si>
    <t>https://www.mcmaster.com/60355K246/</t>
  </si>
  <si>
    <t xml:space="preserve">1/4" thick, 1ft long aluminum angle </t>
  </si>
  <si>
    <t>Bracket stock</t>
  </si>
  <si>
    <t>https://www.mcmaster.com/8982K63-8982K631/</t>
  </si>
  <si>
    <t>6" square 1/4" thick Al plate</t>
  </si>
  <si>
    <t>Mass/spring/damper mount stock</t>
  </si>
  <si>
    <t>https://www.mcmaster.com/9246K423/</t>
  </si>
  <si>
    <t>5"x24"x1/2" Al bar</t>
  </si>
  <si>
    <t>Base plate</t>
  </si>
  <si>
    <t>https://www.mcmaster.com/8975K217-9140T109/</t>
  </si>
  <si>
    <t>50A H-bridge</t>
  </si>
  <si>
    <t>Motor driver</t>
  </si>
  <si>
    <t>https://www.amazon.com/Controller-H-Bridge-High-Power-Single-Channel-Full-Bridge/dp/B07SH6BX97/ref=sr_1_1?crid=1ACJZXMV9XEYZ&amp;keywords=h-bridge+300w+motor+driver&amp;qid=1697169981&amp;sprefix=h-bridge+300w+motor+drive%2Caps%2C149&amp;sr=8-1</t>
  </si>
  <si>
    <t>12v 360w DC supply</t>
  </si>
  <si>
    <t>Drive power supply</t>
  </si>
  <si>
    <t>https://www.amazon.com/Universal-Regulated-Switching-Converter-Transformer/dp/B08LDC41B6/ref=sr_1_1_sspa?crid=PFU6PWSB8D3J&amp;keywords=300%2Bw%2Bpower%2Bsupply&amp;qid=1697170128&amp;sprefix=300%2Bw%2Bpower%2Bsuppl%2Caps%2C154&amp;sr=8-1-spons&amp;sp_csd=d2lkZ2V0TmFtZT1zcF9hdGY&amp;th=1</t>
  </si>
  <si>
    <t>12V to 5v dc dc converter</t>
  </si>
  <si>
    <t>MCU power supply</t>
  </si>
  <si>
    <t>https://www.amazon.com/Converter-Voltage-Waterproof-Regulator-Step-Down/dp/B07Y2V1F8V/ref=sr_1_5?crid=19ODPSI6PGAW2&amp;keywords=dc%2Bdc%2Bconverter%2B5%2Bv&amp;qid=1697170278&amp;sprefix=dc%2Bdc%2Bconverter%2B5%2Bv%2Caps%2C154&amp;sr=8-5&amp;th=1</t>
  </si>
  <si>
    <t>pack</t>
  </si>
  <si>
    <t>Potentiometers</t>
  </si>
  <si>
    <t>Drive control knob- QTY includes those needed for Point-a-Tron</t>
  </si>
  <si>
    <t>https://www.amazon.com/Taiss-Potentiometer-Washers-Different-Aluminum/dp/B09897HR3C/ref=sr_1_3?crid=2VHI3NC0MHDZ9&amp;keywords=potentiometer&amp;qid=1697170468&amp;sprefix=potentiometer%2Caps%2C163&amp;sr=8-3&amp;th=1</t>
  </si>
  <si>
    <t>Arduino Uno</t>
  </si>
  <si>
    <t>Microcontroller (MCU)</t>
  </si>
  <si>
    <t>https://www.amazon.com/ELEGOO-Board-ATmega328P-ATMEGA16U2-Compliant/dp/B01EWOE0UU/ref=sr_1_1_sspa?crid=2GSKSLNIB5BY&amp;keywords=arduino+uno&amp;qid=1697170654&amp;sprefix=arduino+uno%2Caps%2C140&amp;sr=8-1-spons&amp;sp_csd=d2lkZ2V0TmFtZT1zcF9hdGY&amp;psc=1</t>
  </si>
  <si>
    <t>pack of 5</t>
  </si>
  <si>
    <t>Toggle switch</t>
  </si>
  <si>
    <t>On/off switch- QTY includes those needed for Point-a-Tron</t>
  </si>
  <si>
    <t>https://www.amazon.com/Nilight-Rocker-Toggle-Switch-Waterproof/dp/B078KBC5VH/ref=sr_1_2_sspa?crid=2O3T91I70CGGL&amp;keywords=on%2Boff%2Btoggle%2Bswitch&amp;qid=1697171042&amp;sprefix=on%2Boff%2Btoggle%2Caps%2C148&amp;sr=8-2-spons&amp;sp_csd=d2lkZ2V0TmFtZT1zcF9hdGY&amp;th=1</t>
  </si>
  <si>
    <t>Not included: (to be scrounged)</t>
  </si>
  <si>
    <t>Nuts</t>
  </si>
  <si>
    <t>Dowel pins</t>
  </si>
  <si>
    <t>Grand Total</t>
  </si>
  <si>
    <t>Springs</t>
  </si>
  <si>
    <t>Spring end mounts</t>
  </si>
  <si>
    <t>Rail spacers</t>
  </si>
  <si>
    <t>Point-a-Tron</t>
  </si>
  <si>
    <t>HTD belt 5mm 285 teeth</t>
  </si>
  <si>
    <t>Drive/input belt</t>
  </si>
  <si>
    <t>https://www.mcmaster.com/7939K581/</t>
  </si>
  <si>
    <t>1/2" motion shaft</t>
  </si>
  <si>
    <t>Guide rail for linear motion</t>
  </si>
  <si>
    <t>https://www.mcmaster.com/6061K432/</t>
  </si>
  <si>
    <t>1/2" linear bearing</t>
  </si>
  <si>
    <t>Pointer + target bearings</t>
  </si>
  <si>
    <t>https://www.mcmaster.com/6673K13/</t>
  </si>
  <si>
    <t>24t HTD pulleys</t>
  </si>
  <si>
    <t>Belt drive pulleys</t>
  </si>
  <si>
    <t>https://www.andymark.com/products/24t-htd-pulley-1-2-in-hex-bore?via=Z2lkOi8vYW5keW1hcmsvV29ya2FyZWE6Ok5hdmlnYXRpb246OlNlYXJjaFJlc3VsdHMvJTdCJTIyYnV0dG9uJTIyJTNBJTIyc2VhcmNoJTIyJTJDJTIycSUyMiUzQSUyMmh0ZCtwdWxsZXklMjIlMkMlMjJ1dGY4JTIyJTNBJTIyJUUyJTlDJTkzJTIyJTdE</t>
  </si>
  <si>
    <t>Pushbutton rotary encoder</t>
  </si>
  <si>
    <t>Menu/gain adjust and select</t>
  </si>
  <si>
    <t>https://www.amazon.com/WayinTop-Encoder-Potentiometer-Electronics-Projects/dp/B08728K3YB/ref=sr_1_12?crid=1CS666W5YV51N&amp;keywords=encoder+knob&amp;qid=1697173292&amp;sprefix=encoder+kno%2Caps%2C128&amp;sr=8-12</t>
  </si>
  <si>
    <t>OLED mini display</t>
  </si>
  <si>
    <t>Display</t>
  </si>
  <si>
    <t>https://www.amazon.com/Pieces-Display-Module-SSD1306-3-3V-5V/dp/B08L7QW7SR/ref=asc_df_B08L7QW7SR/?tag=hyprod-20&amp;linkCode=df0&amp;hvadid=647176302411&amp;hvpos=&amp;hvnetw=g&amp;hvrand=1969066978442794320&amp;hvpone=&amp;hvptwo=&amp;hvqmt=&amp;hvdev=c&amp;hvdvcmdl=&amp;hvlocint=&amp;hvlocphy=1019672&amp;hvtargid=pla-1168340421489&amp;gclid=Cj0KCQjwsp6pBhCfARIsAD3GZua8aUMI50RTfv8IIaEFJkT8Cg_Ph1nuT56b3fWseC30ENZ3D3bIXdwaAjMQEALw_wcB&amp;th=1</t>
  </si>
  <si>
    <t>pack of 3</t>
  </si>
  <si>
    <t>Magnetic encoders</t>
  </si>
  <si>
    <t>Encoders</t>
  </si>
  <si>
    <t>https://www.amazon.com/Magnetic-Encoder-Induction-Measurement-Precision/dp/B094F8H591/ref=sr_1_3?keywords=magnetic%2Bencoder&amp;qid=1697174281&amp;sr=8-3&amp;th=1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</si>
</sst>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cmaster.com/8975K217-9140T109/" TargetMode="External"/><Relationship Id="rId22" Type="http://schemas.openxmlformats.org/officeDocument/2006/relationships/hyperlink" Target="https://www.amazon.com/Universal-Regulated-Switching-Converter-Transformer/dp/B08LDC41B6/ref=sr_1_1_sspa?crid=PFU6PWSB8D3J&amp;keywords=300%2Bw%2Bpower%2Bsupply&amp;qid=1697170128&amp;sprefix=300%2Bw%2Bpower%2Bsuppl%2Caps%2C154&amp;sr=8-1-spons&amp;sp_csd=d2lkZ2V0TmFtZT1zcF9hdGY&amp;th=1" TargetMode="External"/><Relationship Id="rId21" Type="http://schemas.openxmlformats.org/officeDocument/2006/relationships/hyperlink" Target="https://www.amazon.com/Controller-H-Bridge-High-Power-Single-Channel-Full-Bridge/dp/B07SH6BX97/ref=sr_1_1?crid=1ACJZXMV9XEYZ&amp;keywords=h-bridge+300w+motor+driver&amp;qid=1697169981&amp;sprefix=h-bridge+300w+motor+drive%2Caps%2C149&amp;sr=8-1" TargetMode="External"/><Relationship Id="rId24" Type="http://schemas.openxmlformats.org/officeDocument/2006/relationships/hyperlink" Target="https://www.amazon.com/Taiss-Potentiometer-Washers-Different-Aluminum/dp/B09897HR3C/ref=sr_1_3?crid=2VHI3NC0MHDZ9&amp;keywords=potentiometer&amp;qid=1697170468&amp;sprefix=potentiometer%2Caps%2C163&amp;sr=8-3&amp;th=1" TargetMode="External"/><Relationship Id="rId23" Type="http://schemas.openxmlformats.org/officeDocument/2006/relationships/hyperlink" Target="https://www.amazon.com/Converter-Voltage-Waterproof-Regulator-Step-Down/dp/B07Y2V1F8V/ref=sr_1_5?crid=19ODPSI6PGAW2&amp;keywords=dc%2Bdc%2Bconverter%2B5%2Bv&amp;qid=1697170278&amp;sprefix=dc%2Bdc%2Bconverter%2B5%2Bv%2Caps%2C154&amp;sr=8-5&amp;th=1" TargetMode="External"/><Relationship Id="rId1" Type="http://schemas.openxmlformats.org/officeDocument/2006/relationships/hyperlink" Target="https://www.amainhobbies.com/proline-5-powerstroke-xt-shocks-pro6275-00/p479230" TargetMode="External"/><Relationship Id="rId2" Type="http://schemas.openxmlformats.org/officeDocument/2006/relationships/hyperlink" Target="https://www.amainhobbies.com/team-losi-racing-silicone-shock-oil-six-pack-20-25-30-35-40-45wt-2oz-tlr74020/p252365" TargetMode="External"/><Relationship Id="rId3" Type="http://schemas.openxmlformats.org/officeDocument/2006/relationships/hyperlink" Target="https://openbuildspartstore.com/v-slot-20x20-linear-rail/" TargetMode="External"/><Relationship Id="rId4" Type="http://schemas.openxmlformats.org/officeDocument/2006/relationships/hyperlink" Target="https://openbuildspartstore.com/v-slot-gantry-kit-20mm/" TargetMode="External"/><Relationship Id="rId9" Type="http://schemas.openxmlformats.org/officeDocument/2006/relationships/hyperlink" Target="https://www.vexrobotics.com/htdpulleys.html" TargetMode="External"/><Relationship Id="rId26" Type="http://schemas.openxmlformats.org/officeDocument/2006/relationships/hyperlink" Target="https://www.amazon.com/Nilight-Rocker-Toggle-Switch-Waterproof/dp/B078KBC5VH/ref=sr_1_2_sspa?crid=2O3T91I70CGGL&amp;keywords=on%2Boff%2Btoggle%2Bswitch&amp;qid=1697171042&amp;sprefix=on%2Boff%2Btoggle%2Caps%2C148&amp;sr=8-2-spons&amp;sp_csd=d2lkZ2V0TmFtZT1zcF9hdGY&amp;th=1" TargetMode="External"/><Relationship Id="rId25" Type="http://schemas.openxmlformats.org/officeDocument/2006/relationships/hyperlink" Target="https://www.amazon.com/ELEGOO-Board-ATmega328P-ATMEGA16U2-Compliant/dp/B01EWOE0UU/ref=sr_1_1_sspa?crid=2GSKSLNIB5BY&amp;keywords=arduino+uno&amp;qid=1697170654&amp;sprefix=arduino+uno%2Caps%2C140&amp;sr=8-1-spons&amp;sp_csd=d2lkZ2V0TmFtZT1zcF9hdGY&amp;psc=1" TargetMode="External"/><Relationship Id="rId28" Type="http://schemas.openxmlformats.org/officeDocument/2006/relationships/hyperlink" Target="https://www.mcmaster.com/6061K432/" TargetMode="External"/><Relationship Id="rId27" Type="http://schemas.openxmlformats.org/officeDocument/2006/relationships/hyperlink" Target="https://www.mcmaster.com/7939K581/" TargetMode="External"/><Relationship Id="rId5" Type="http://schemas.openxmlformats.org/officeDocument/2006/relationships/hyperlink" Target="https://openbuildspartstore.com/tee-nuts-m5-10-pack/" TargetMode="External"/><Relationship Id="rId6" Type="http://schemas.openxmlformats.org/officeDocument/2006/relationships/hyperlink" Target="https://www.andymark.com/products/2-5-in-cim-motor" TargetMode="External"/><Relationship Id="rId29" Type="http://schemas.openxmlformats.org/officeDocument/2006/relationships/hyperlink" Target="https://www.mcmaster.com/6673K13/" TargetMode="External"/><Relationship Id="rId7" Type="http://schemas.openxmlformats.org/officeDocument/2006/relationships/hyperlink" Target="https://www.andymark.com/products/12-tooth-5mm-htd-cim-bore-pulley-with-flanges?via=Z2lkOi8vYW5keW1hcmsvV29ya2FyZWE6Ok5hdmlnYXRpb246OlNlYXJjaFJlc3VsdHMvJTdCJTIyYnV0dG9uJTIyJTNBJTIyc2VhcmNoJTIyJTJDJTIycSUyMiUzQSUyMmh0ZCtwdWxsZXklMjIlMkMlMjJ1dGY4JTIyJTNBJTIyJUUyJTlDJTkzJTIyJTdE" TargetMode="External"/><Relationship Id="rId8" Type="http://schemas.openxmlformats.org/officeDocument/2006/relationships/hyperlink" Target="https://wcproducts.com/products/htd-timing-pulleys" TargetMode="External"/><Relationship Id="rId31" Type="http://schemas.openxmlformats.org/officeDocument/2006/relationships/hyperlink" Target="https://www.amazon.com/WayinTop-Encoder-Potentiometer-Electronics-Projects/dp/B08728K3YB/ref=sr_1_12?crid=1CS666W5YV51N&amp;keywords=encoder+knob&amp;qid=1697173292&amp;sprefix=encoder+kno%2Caps%2C128&amp;sr=8-12" TargetMode="External"/><Relationship Id="rId30" Type="http://schemas.openxmlformats.org/officeDocument/2006/relationships/hyperlink" Target="https://www.andymark.com/products/24t-htd-pulley-1-2-in-hex-bore?via=Z2lkOi8vYW5keW1hcmsvV29ya2FyZWE6Ok5hdmlnYXRpb246OlNlYXJjaFJlc3VsdHMvJTdCJTIyYnV0dG9uJTIyJTNBJTIyc2VhcmNoJTIyJTJDJTIycSUyMiUzQSUyMmh0ZCtwdWxsZXklMjIlMkMlMjJ1dGY4JTIyJTNBJTIyJUUyJTlDJTkzJTIyJTdE" TargetMode="External"/><Relationship Id="rId11" Type="http://schemas.openxmlformats.org/officeDocument/2006/relationships/hyperlink" Target="https://www.andymark.com/products/0-5-in-hex-id-1-125-in-od-shielded-flanged-bearing-fr8zz-hexhd?via=Z2lkOi8vYW5keW1hcmsvV29ya2FyZWE6Ok5hdmlnYXRpb246OlNlYXJjaFJlc3VsdHMvJTdCJTIyYnV0dG9uJTIyJTNBJTIyc2VhcmNoJTIyJTJDJTIycSUyMiUzQSUyMjElMkYyK2luY2graGV4K2JlYXJpbmclMjIlMkMlMjJ1dGY4JTIyJTNBJTIyJUUyJTlDJTkzJTIyJTdE" TargetMode="External"/><Relationship Id="rId33" Type="http://schemas.openxmlformats.org/officeDocument/2006/relationships/hyperlink" Target="https://www.amazon.com/Magnetic-Encoder-Induction-Measurement-Precision/dp/B094F8H591/ref=sr_1_3?keywords=magnetic%2Bencoder&amp;qid=1697174281&amp;sr=8-3&amp;th=1" TargetMode="External"/><Relationship Id="rId10" Type="http://schemas.openxmlformats.org/officeDocument/2006/relationships/hyperlink" Target="https://www.andymark.com/products/9-mm-wide-5-mm-pitch-htd-timing-belts?via=Z2lkOi8vYW5keW1hcmsvV29ya2FyZWE6Ok5hdmlnYXRpb246OlNlYXJjaFJlc3VsdHMvJTdCJTIyYnV0dG9uJTIyJTNBJTIyc2VhcmNoJTIyJTJDJTIycSUyMiUzQSUyMmh0ZCtiZWx0JTIyJTJDJTIydXRmOCUyMiUzQSUyMiVFMiU5QyU5MyUyMiU3RA&amp;Tooth%20Count=60&amp;quantity=1&amp;Brand=Generic" TargetMode="External"/><Relationship Id="rId32" Type="http://schemas.openxmlformats.org/officeDocument/2006/relationships/hyperlink" Target="https://www.amazon.com/Pieces-Display-Module-SSD1306-3-3V-5V/dp/B08L7QW7SR/ref=asc_df_B08L7QW7SR/?tag=hyprod-20&amp;linkCode=df0&amp;hvadid=647176302411&amp;hvpos=&amp;hvnetw=g&amp;hvrand=1969066978442794320&amp;hvpone=&amp;hvptwo=&amp;hvqmt=&amp;hvdev=c&amp;hvdvcmdl=&amp;hvlocint=&amp;hvlocphy=1019672&amp;hvtargid=pla-1168340421489&amp;gclid=Cj0KCQjwsp6pBhCfARIsAD3GZua8aUMI50RTfv8IIaEFJkT8Cg_Ph1nuT56b3fWseC30ENZ3D3bIXdwaAjMQEALw_wcB&amp;th=1" TargetMode="External"/><Relationship Id="rId13" Type="http://schemas.openxmlformats.org/officeDocument/2006/relationships/hyperlink" Target="https://www.andymark.com/products/1-2-in-7075-aluminum-hex-shaft-stock?via=Z2lkOi8vYW5keW1hcmsvV29ya2FyZWE6Ok5hdmlnYXRpb246OlNlYXJjaFJlc3VsdHMvJTdCJTIyYnV0dG9uJTIyJTNBJTIyc2VhcmNoJTIyJTJDJTIycSUyMiUzQSUyMmhleCtzaGFmdCUyMiUyQyUyMnV0ZjglMjIlM0ElMjIlRTIlOUMlOTMlMjIlN0Q&amp;Length=3%20ft.%20(am-2291-3)&amp;quantity=1" TargetMode="External"/><Relationship Id="rId12" Type="http://schemas.openxmlformats.org/officeDocument/2006/relationships/hyperlink" Target="https://www.andymark.com/products/2x2x10-mm-machine-key-steel?via=Z2lkOi8vYW5keW1hcmsvV29ya2FyZWE6Ok5hdmlnYXRpb246OlNlYXJjaFJlc3VsdHMvJTdCJTIyYnV0dG9uJTIyJTNBJTIyc2VhcmNoJTIyJTJDJTIycSUyMiUzQSUyMnNxdWFyZStrZXklMjIlMkMlMjJ1dGY4JTIyJTNBJTIyJUUyJTlDJTkzJTIyJTdE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www.mcmaster.com/7552K5/" TargetMode="External"/><Relationship Id="rId14" Type="http://schemas.openxmlformats.org/officeDocument/2006/relationships/hyperlink" Target="https://www.andymark.com/products/bearing-and-motor-mount-bracket?via=Z2lkOi8vYW5keW1hcmsvV29ya2FyZWE6Ok5hdmlnYXRpb246OlNlYXJjaFJlc3VsdHMvJTdCJTIyYnV0dG9uJTIyJTNBJTIyc2VhcmNoJTIyJTJDJTIycSUyMiUzQSUyMmNpbSttb3VudCUyMiUyQyUyMnV0ZjglMjIlM0ElMjIlRTIlOUMlOTMlMjIlN0Q" TargetMode="External"/><Relationship Id="rId17" Type="http://schemas.openxmlformats.org/officeDocument/2006/relationships/hyperlink" Target="https://www.mcmaster.com/60355K246/" TargetMode="External"/><Relationship Id="rId16" Type="http://schemas.openxmlformats.org/officeDocument/2006/relationships/hyperlink" Target="https://www.mcmaster.com/92949A539/" TargetMode="External"/><Relationship Id="rId19" Type="http://schemas.openxmlformats.org/officeDocument/2006/relationships/hyperlink" Target="https://www.mcmaster.com/9246K423/" TargetMode="External"/><Relationship Id="rId18" Type="http://schemas.openxmlformats.org/officeDocument/2006/relationships/hyperlink" Target="https://www.mcmaster.com/8982K63-8982K63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55.0"/>
    <col customWidth="1" min="5" max="5" width="28.0"/>
    <col customWidth="1" min="8" max="8" width="19.63"/>
  </cols>
  <sheetData>
    <row r="1">
      <c r="A1" s="2" t="s">
        <v>1</v>
      </c>
      <c r="B1" s="1"/>
      <c r="C1" s="1"/>
      <c r="D1" s="1"/>
      <c r="E1" s="1"/>
      <c r="F1" s="1"/>
      <c r="G1" s="1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3" t="s">
        <v>13</v>
      </c>
      <c r="F3" s="1">
        <v>67.99</v>
      </c>
      <c r="G3" s="4">
        <f t="shared" ref="G3:G27" si="1">F3*A3</f>
        <v>135.98</v>
      </c>
      <c r="H3" s="1" t="s">
        <v>14</v>
      </c>
    </row>
    <row r="4">
      <c r="A4" s="1">
        <v>1.0</v>
      </c>
      <c r="B4" s="1" t="s">
        <v>15</v>
      </c>
      <c r="C4" s="1" t="s">
        <v>16</v>
      </c>
      <c r="D4" s="1" t="s">
        <v>17</v>
      </c>
      <c r="E4" s="3" t="s">
        <v>18</v>
      </c>
      <c r="F4" s="1">
        <v>32.99</v>
      </c>
      <c r="G4" s="4">
        <f t="shared" si="1"/>
        <v>32.99</v>
      </c>
      <c r="H4" s="1" t="s">
        <v>14</v>
      </c>
    </row>
    <row r="5">
      <c r="A5" s="1">
        <v>1.0</v>
      </c>
      <c r="B5" s="1" t="s">
        <v>19</v>
      </c>
      <c r="C5" s="1" t="s">
        <v>20</v>
      </c>
      <c r="D5" s="1" t="s">
        <v>21</v>
      </c>
      <c r="E5" s="3" t="s">
        <v>22</v>
      </c>
      <c r="F5" s="1">
        <v>5.49</v>
      </c>
      <c r="G5" s="4">
        <f t="shared" si="1"/>
        <v>5.49</v>
      </c>
      <c r="H5" s="1" t="s">
        <v>14</v>
      </c>
    </row>
    <row r="6">
      <c r="A6" s="1">
        <v>2.0</v>
      </c>
      <c r="B6" s="1" t="s">
        <v>19</v>
      </c>
      <c r="C6" s="1" t="s">
        <v>23</v>
      </c>
      <c r="D6" s="1" t="s">
        <v>24</v>
      </c>
      <c r="E6" s="3" t="s">
        <v>25</v>
      </c>
      <c r="F6" s="1">
        <v>31.99</v>
      </c>
      <c r="G6" s="4">
        <f t="shared" si="1"/>
        <v>63.98</v>
      </c>
      <c r="H6" s="1" t="s">
        <v>14</v>
      </c>
    </row>
    <row r="7">
      <c r="A7" s="1">
        <v>1.0</v>
      </c>
      <c r="B7" s="1" t="s">
        <v>26</v>
      </c>
      <c r="C7" s="1" t="s">
        <v>27</v>
      </c>
      <c r="D7" s="1" t="s">
        <v>28</v>
      </c>
      <c r="E7" s="3" t="s">
        <v>29</v>
      </c>
      <c r="F7" s="1">
        <v>2.99</v>
      </c>
      <c r="G7" s="4">
        <f t="shared" si="1"/>
        <v>2.99</v>
      </c>
      <c r="H7" s="1" t="s">
        <v>14</v>
      </c>
    </row>
    <row r="8">
      <c r="A8" s="1">
        <v>1.0</v>
      </c>
      <c r="B8" s="1" t="s">
        <v>19</v>
      </c>
      <c r="C8" s="1" t="s">
        <v>30</v>
      </c>
      <c r="D8" s="1" t="s">
        <v>31</v>
      </c>
      <c r="E8" s="3" t="s">
        <v>32</v>
      </c>
      <c r="F8" s="1">
        <v>38.0</v>
      </c>
      <c r="G8" s="4">
        <f t="shared" si="1"/>
        <v>38</v>
      </c>
      <c r="H8" s="1" t="s">
        <v>14</v>
      </c>
    </row>
    <row r="9">
      <c r="A9" s="1">
        <v>1.0</v>
      </c>
      <c r="B9" s="1" t="s">
        <v>19</v>
      </c>
      <c r="C9" s="1" t="s">
        <v>33</v>
      </c>
      <c r="D9" s="1" t="s">
        <v>34</v>
      </c>
      <c r="E9" s="3" t="s">
        <v>35</v>
      </c>
      <c r="F9" s="1">
        <v>16.0</v>
      </c>
      <c r="G9" s="4">
        <f t="shared" si="1"/>
        <v>16</v>
      </c>
      <c r="H9" s="3" t="s">
        <v>36</v>
      </c>
    </row>
    <row r="10">
      <c r="A10" s="1">
        <v>1.0</v>
      </c>
      <c r="B10" s="1" t="s">
        <v>19</v>
      </c>
      <c r="C10" s="1" t="s">
        <v>37</v>
      </c>
      <c r="D10" s="1" t="s">
        <v>38</v>
      </c>
      <c r="E10" s="3" t="s">
        <v>39</v>
      </c>
      <c r="F10" s="1">
        <v>16.99</v>
      </c>
      <c r="G10" s="4">
        <f t="shared" si="1"/>
        <v>16.99</v>
      </c>
      <c r="H10" s="1" t="s">
        <v>40</v>
      </c>
    </row>
    <row r="11">
      <c r="A11" s="1">
        <v>1.0</v>
      </c>
      <c r="B11" s="1" t="s">
        <v>19</v>
      </c>
      <c r="C11" s="1" t="s">
        <v>41</v>
      </c>
      <c r="D11" s="1" t="s">
        <v>42</v>
      </c>
      <c r="E11" s="3" t="s">
        <v>43</v>
      </c>
      <c r="F11" s="1">
        <v>7.75</v>
      </c>
      <c r="G11" s="4">
        <f t="shared" si="1"/>
        <v>7.75</v>
      </c>
      <c r="H11" s="1" t="s">
        <v>14</v>
      </c>
    </row>
    <row r="12">
      <c r="A12" s="1">
        <v>8.0</v>
      </c>
      <c r="B12" s="1" t="s">
        <v>19</v>
      </c>
      <c r="C12" s="1" t="s">
        <v>44</v>
      </c>
      <c r="D12" s="1" t="s">
        <v>45</v>
      </c>
      <c r="E12" s="3" t="s">
        <v>46</v>
      </c>
      <c r="F12" s="1">
        <v>6.18</v>
      </c>
      <c r="G12" s="4">
        <f t="shared" si="1"/>
        <v>49.44</v>
      </c>
      <c r="H12" s="1" t="s">
        <v>14</v>
      </c>
    </row>
    <row r="13">
      <c r="A13" s="1">
        <v>2.0</v>
      </c>
      <c r="B13" s="1" t="s">
        <v>19</v>
      </c>
      <c r="C13" s="1" t="s">
        <v>47</v>
      </c>
      <c r="D13" s="1" t="s">
        <v>48</v>
      </c>
      <c r="E13" s="3" t="s">
        <v>49</v>
      </c>
      <c r="F13" s="1">
        <v>0.75</v>
      </c>
      <c r="G13" s="4">
        <f t="shared" si="1"/>
        <v>1.5</v>
      </c>
      <c r="H13" s="1" t="s">
        <v>14</v>
      </c>
    </row>
    <row r="14">
      <c r="A14" s="1">
        <v>1.0</v>
      </c>
      <c r="B14" s="1" t="s">
        <v>19</v>
      </c>
      <c r="C14" s="1" t="s">
        <v>50</v>
      </c>
      <c r="D14" s="1" t="s">
        <v>51</v>
      </c>
      <c r="E14" s="3" t="s">
        <v>52</v>
      </c>
      <c r="F14" s="1">
        <v>31.0</v>
      </c>
      <c r="G14" s="4">
        <f t="shared" si="1"/>
        <v>31</v>
      </c>
      <c r="H14" s="1" t="s">
        <v>14</v>
      </c>
    </row>
    <row r="15">
      <c r="A15" s="1">
        <v>1.0</v>
      </c>
      <c r="B15" s="1" t="s">
        <v>19</v>
      </c>
      <c r="C15" s="1" t="s">
        <v>53</v>
      </c>
      <c r="D15" s="1" t="s">
        <v>54</v>
      </c>
      <c r="E15" s="3" t="s">
        <v>55</v>
      </c>
      <c r="F15" s="1">
        <v>7.0</v>
      </c>
      <c r="G15" s="4">
        <f t="shared" si="1"/>
        <v>7</v>
      </c>
      <c r="H15" s="1" t="s">
        <v>14</v>
      </c>
    </row>
    <row r="16">
      <c r="A16" s="1">
        <v>1.0</v>
      </c>
      <c r="B16" s="1" t="s">
        <v>19</v>
      </c>
      <c r="C16" s="1" t="s">
        <v>56</v>
      </c>
      <c r="D16" s="1" t="s">
        <v>57</v>
      </c>
      <c r="E16" s="3" t="s">
        <v>58</v>
      </c>
      <c r="F16" s="1">
        <v>22.28</v>
      </c>
      <c r="G16" s="4">
        <f t="shared" si="1"/>
        <v>22.28</v>
      </c>
      <c r="H16" s="1" t="s">
        <v>14</v>
      </c>
    </row>
    <row r="17">
      <c r="A17" s="1">
        <v>1.0</v>
      </c>
      <c r="B17" s="1" t="s">
        <v>59</v>
      </c>
      <c r="C17" s="1" t="s">
        <v>60</v>
      </c>
      <c r="D17" s="1" t="s">
        <v>61</v>
      </c>
      <c r="E17" s="3" t="s">
        <v>62</v>
      </c>
      <c r="F17" s="1">
        <v>9.9</v>
      </c>
      <c r="G17" s="4">
        <f t="shared" si="1"/>
        <v>9.9</v>
      </c>
      <c r="H17" s="1" t="s">
        <v>14</v>
      </c>
    </row>
    <row r="18">
      <c r="A18" s="1">
        <v>2.0</v>
      </c>
      <c r="B18" s="1" t="s">
        <v>19</v>
      </c>
      <c r="C18" s="1" t="s">
        <v>63</v>
      </c>
      <c r="D18" s="1" t="s">
        <v>64</v>
      </c>
      <c r="E18" s="3" t="s">
        <v>65</v>
      </c>
      <c r="F18" s="1">
        <v>7.35</v>
      </c>
      <c r="G18" s="4">
        <f t="shared" si="1"/>
        <v>14.7</v>
      </c>
      <c r="H18" s="1" t="s">
        <v>14</v>
      </c>
    </row>
    <row r="19">
      <c r="A19" s="1">
        <v>1.0</v>
      </c>
      <c r="B19" s="1" t="s">
        <v>19</v>
      </c>
      <c r="C19" s="1" t="s">
        <v>66</v>
      </c>
      <c r="D19" s="1" t="s">
        <v>67</v>
      </c>
      <c r="E19" s="3" t="s">
        <v>68</v>
      </c>
      <c r="F19" s="1">
        <v>29.65</v>
      </c>
      <c r="G19" s="4">
        <f t="shared" si="1"/>
        <v>29.65</v>
      </c>
      <c r="H19" s="1" t="s">
        <v>14</v>
      </c>
    </row>
    <row r="20">
      <c r="A20" s="1">
        <v>2.0</v>
      </c>
      <c r="B20" s="1" t="s">
        <v>19</v>
      </c>
      <c r="C20" s="1" t="s">
        <v>69</v>
      </c>
      <c r="D20" s="1" t="s">
        <v>70</v>
      </c>
      <c r="E20" s="3" t="s">
        <v>71</v>
      </c>
      <c r="F20" s="1">
        <v>11.7</v>
      </c>
      <c r="G20" s="4">
        <f t="shared" si="1"/>
        <v>23.4</v>
      </c>
      <c r="H20" s="1" t="s">
        <v>14</v>
      </c>
    </row>
    <row r="21">
      <c r="A21" s="1">
        <v>1.0</v>
      </c>
      <c r="B21" s="1" t="s">
        <v>19</v>
      </c>
      <c r="C21" s="1" t="s">
        <v>72</v>
      </c>
      <c r="D21" s="1" t="s">
        <v>73</v>
      </c>
      <c r="E21" s="3" t="s">
        <v>74</v>
      </c>
      <c r="F21" s="1">
        <v>67.84</v>
      </c>
      <c r="G21" s="4">
        <f t="shared" si="1"/>
        <v>67.84</v>
      </c>
      <c r="H21" s="1" t="s">
        <v>14</v>
      </c>
    </row>
    <row r="22">
      <c r="A22" s="1">
        <v>1.0</v>
      </c>
      <c r="B22" s="1" t="s">
        <v>19</v>
      </c>
      <c r="C22" s="1" t="s">
        <v>75</v>
      </c>
      <c r="D22" s="1" t="s">
        <v>76</v>
      </c>
      <c r="E22" s="3" t="s">
        <v>77</v>
      </c>
      <c r="F22" s="1">
        <v>15.87</v>
      </c>
      <c r="G22" s="4">
        <f t="shared" si="1"/>
        <v>15.87</v>
      </c>
      <c r="H22" s="1" t="s">
        <v>14</v>
      </c>
    </row>
    <row r="23">
      <c r="A23" s="1">
        <v>1.0</v>
      </c>
      <c r="B23" s="1" t="s">
        <v>19</v>
      </c>
      <c r="C23" s="1" t="s">
        <v>78</v>
      </c>
      <c r="D23" s="1" t="s">
        <v>79</v>
      </c>
      <c r="E23" s="3" t="s">
        <v>80</v>
      </c>
      <c r="F23" s="1">
        <v>28.41</v>
      </c>
      <c r="G23" s="4">
        <f t="shared" si="1"/>
        <v>28.41</v>
      </c>
      <c r="H23" s="1" t="s">
        <v>14</v>
      </c>
    </row>
    <row r="24">
      <c r="A24" s="1">
        <v>1.0</v>
      </c>
      <c r="B24" s="1" t="s">
        <v>19</v>
      </c>
      <c r="C24" s="1" t="s">
        <v>81</v>
      </c>
      <c r="D24" s="1" t="s">
        <v>82</v>
      </c>
      <c r="E24" s="3" t="s">
        <v>83</v>
      </c>
      <c r="F24" s="1">
        <v>8.99</v>
      </c>
      <c r="G24" s="4">
        <f t="shared" si="1"/>
        <v>8.99</v>
      </c>
      <c r="H24" s="1" t="s">
        <v>14</v>
      </c>
    </row>
    <row r="25">
      <c r="A25" s="1">
        <v>1.0</v>
      </c>
      <c r="B25" s="1" t="s">
        <v>84</v>
      </c>
      <c r="C25" s="1" t="s">
        <v>85</v>
      </c>
      <c r="D25" s="1" t="s">
        <v>86</v>
      </c>
      <c r="E25" s="3" t="s">
        <v>87</v>
      </c>
      <c r="F25" s="1">
        <v>11.99</v>
      </c>
      <c r="G25" s="4">
        <f t="shared" si="1"/>
        <v>11.99</v>
      </c>
      <c r="H25" s="1" t="s">
        <v>14</v>
      </c>
    </row>
    <row r="26">
      <c r="A26" s="1">
        <v>1.0</v>
      </c>
      <c r="B26" s="1" t="s">
        <v>19</v>
      </c>
      <c r="C26" s="1" t="s">
        <v>88</v>
      </c>
      <c r="D26" s="1" t="s">
        <v>89</v>
      </c>
      <c r="E26" s="3" t="s">
        <v>90</v>
      </c>
      <c r="F26" s="1">
        <v>16.99</v>
      </c>
      <c r="G26" s="4">
        <f t="shared" si="1"/>
        <v>16.99</v>
      </c>
      <c r="H26" s="1" t="s">
        <v>14</v>
      </c>
    </row>
    <row r="27">
      <c r="A27" s="1">
        <v>1.0</v>
      </c>
      <c r="B27" s="1" t="s">
        <v>91</v>
      </c>
      <c r="C27" s="1" t="s">
        <v>92</v>
      </c>
      <c r="D27" s="1" t="s">
        <v>93</v>
      </c>
      <c r="E27" s="3" t="s">
        <v>94</v>
      </c>
      <c r="F27" s="1">
        <v>9.89</v>
      </c>
      <c r="G27" s="4">
        <f t="shared" si="1"/>
        <v>9.89</v>
      </c>
      <c r="H27" s="1" t="s">
        <v>14</v>
      </c>
    </row>
    <row r="29">
      <c r="A29" s="5" t="s">
        <v>95</v>
      </c>
    </row>
    <row r="30">
      <c r="A30" s="1" t="s">
        <v>96</v>
      </c>
    </row>
    <row r="31">
      <c r="A31" s="1" t="s">
        <v>97</v>
      </c>
      <c r="I31" s="6" t="s">
        <v>98</v>
      </c>
    </row>
    <row r="32">
      <c r="A32" s="1" t="s">
        <v>99</v>
      </c>
      <c r="I32" s="7">
        <f>SUM(G3:G28)+SUM(G38:G47)</f>
        <v>864.45</v>
      </c>
    </row>
    <row r="33">
      <c r="A33" s="1" t="s">
        <v>100</v>
      </c>
    </row>
    <row r="34">
      <c r="A34" s="1" t="s">
        <v>101</v>
      </c>
    </row>
    <row r="36">
      <c r="A36" s="2" t="s">
        <v>102</v>
      </c>
    </row>
    <row r="37">
      <c r="A37" s="1" t="s">
        <v>2</v>
      </c>
      <c r="B37" s="1" t="s">
        <v>3</v>
      </c>
      <c r="C37" s="1" t="s">
        <v>4</v>
      </c>
      <c r="D37" s="1" t="s">
        <v>5</v>
      </c>
      <c r="E37" s="1" t="s">
        <v>6</v>
      </c>
      <c r="F37" s="1" t="s">
        <v>7</v>
      </c>
      <c r="G37" s="1" t="s">
        <v>8</v>
      </c>
      <c r="H37" s="1" t="s">
        <v>9</v>
      </c>
    </row>
    <row r="38">
      <c r="A38" s="1">
        <v>2.0</v>
      </c>
      <c r="B38" s="1" t="s">
        <v>19</v>
      </c>
      <c r="C38" s="1" t="s">
        <v>103</v>
      </c>
      <c r="D38" s="1" t="s">
        <v>104</v>
      </c>
      <c r="E38" s="3" t="s">
        <v>105</v>
      </c>
      <c r="F38" s="1">
        <v>38.09</v>
      </c>
      <c r="G38" s="4">
        <f t="shared" ref="G38:G44" si="2">F38*A38</f>
        <v>76.18</v>
      </c>
      <c r="H38" s="1" t="s">
        <v>14</v>
      </c>
    </row>
    <row r="39">
      <c r="A39" s="1">
        <v>2.0</v>
      </c>
      <c r="B39" s="1" t="s">
        <v>19</v>
      </c>
      <c r="C39" s="1" t="s">
        <v>106</v>
      </c>
      <c r="D39" s="1" t="s">
        <v>107</v>
      </c>
      <c r="E39" s="3" t="s">
        <v>108</v>
      </c>
      <c r="F39" s="1">
        <v>12.52</v>
      </c>
      <c r="G39" s="4">
        <f t="shared" si="2"/>
        <v>25.04</v>
      </c>
      <c r="H39" s="1" t="s">
        <v>14</v>
      </c>
    </row>
    <row r="40">
      <c r="A40" s="1">
        <v>2.0</v>
      </c>
      <c r="B40" s="1" t="s">
        <v>19</v>
      </c>
      <c r="C40" s="1" t="s">
        <v>109</v>
      </c>
      <c r="D40" s="1" t="s">
        <v>110</v>
      </c>
      <c r="E40" s="3" t="s">
        <v>111</v>
      </c>
      <c r="F40" s="1">
        <v>12.62</v>
      </c>
      <c r="G40" s="4">
        <f t="shared" si="2"/>
        <v>25.24</v>
      </c>
      <c r="H40" s="1" t="s">
        <v>14</v>
      </c>
    </row>
    <row r="41">
      <c r="A41" s="1">
        <v>4.0</v>
      </c>
      <c r="B41" s="1" t="s">
        <v>19</v>
      </c>
      <c r="C41" s="1" t="s">
        <v>112</v>
      </c>
      <c r="D41" s="1" t="s">
        <v>113</v>
      </c>
      <c r="E41" s="3" t="s">
        <v>114</v>
      </c>
      <c r="F41" s="1">
        <v>8.5</v>
      </c>
      <c r="G41" s="4">
        <f t="shared" si="2"/>
        <v>34</v>
      </c>
      <c r="H41" s="1" t="s">
        <v>14</v>
      </c>
    </row>
    <row r="42">
      <c r="A42" s="1">
        <v>1.0</v>
      </c>
      <c r="B42" s="1" t="s">
        <v>91</v>
      </c>
      <c r="C42" s="1" t="s">
        <v>115</v>
      </c>
      <c r="D42" s="1" t="s">
        <v>116</v>
      </c>
      <c r="E42" s="3" t="s">
        <v>117</v>
      </c>
      <c r="F42" s="1">
        <v>9.99</v>
      </c>
      <c r="G42" s="4">
        <f t="shared" si="2"/>
        <v>9.99</v>
      </c>
      <c r="H42" s="1" t="s">
        <v>14</v>
      </c>
    </row>
    <row r="43">
      <c r="A43" s="1">
        <v>1.0</v>
      </c>
      <c r="B43" s="1" t="s">
        <v>91</v>
      </c>
      <c r="C43" s="1" t="s">
        <v>118</v>
      </c>
      <c r="D43" s="1" t="s">
        <v>119</v>
      </c>
      <c r="E43" s="3" t="s">
        <v>120</v>
      </c>
      <c r="F43" s="1">
        <v>13.99</v>
      </c>
      <c r="G43" s="4">
        <f t="shared" si="2"/>
        <v>13.99</v>
      </c>
      <c r="H43" s="1" t="s">
        <v>14</v>
      </c>
    </row>
    <row r="44">
      <c r="A44" s="1">
        <v>1.0</v>
      </c>
      <c r="B44" s="1" t="s">
        <v>121</v>
      </c>
      <c r="C44" s="1" t="s">
        <v>122</v>
      </c>
      <c r="D44" s="1" t="s">
        <v>123</v>
      </c>
      <c r="E44" s="3" t="s">
        <v>124</v>
      </c>
      <c r="F44" s="1">
        <v>10.99</v>
      </c>
      <c r="G44" s="4">
        <f t="shared" si="2"/>
        <v>10.99</v>
      </c>
      <c r="H44" s="1" t="s">
        <v>14</v>
      </c>
    </row>
    <row r="45">
      <c r="D45" s="1"/>
    </row>
    <row r="46">
      <c r="D46" s="1"/>
    </row>
    <row r="47">
      <c r="D47" s="1"/>
    </row>
    <row r="48">
      <c r="D48" s="1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H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38"/>
    <hyperlink r:id="rId28" ref="E39"/>
    <hyperlink r:id="rId29" ref="E40"/>
    <hyperlink r:id="rId30" ref="E41"/>
    <hyperlink r:id="rId31" ref="E42"/>
    <hyperlink r:id="rId32" ref="E43"/>
    <hyperlink r:id="rId33" ref="E44"/>
  </hyperlinks>
  <drawing r:id="rId34"/>
</worksheet>
</file>